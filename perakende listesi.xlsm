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ARYA\Desktop\web-uygulamasi\"/>
    </mc:Choice>
  </mc:AlternateContent>
  <xr:revisionPtr revIDLastSave="0" documentId="13_ncr:1_{A8E8D427-ABFC-4FA6-AB20-4EEC42D1C4C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ayfa1" sheetId="1" r:id="rId1"/>
    <sheet name="Sayfa5" sheetId="2" r:id="rId2"/>
  </sheets>
  <externalReferences>
    <externalReference r:id="rId3"/>
  </externalReferences>
  <definedNames>
    <definedName name="_xleta.ODD" hidden="1" xlm="1">#NAME?</definedName>
    <definedName name="_xleta.ROUNDUP" hidden="1" xlm="1">#NAME?</definedName>
    <definedName name="_xleta.T" hidden="1" xlm="1">#NAME?</definedName>
    <definedName name="ALADAĞ1">Sayfa1!$M$1861</definedName>
    <definedName name="AraToplam">#REF!</definedName>
    <definedName name="Diğer">[1]Teklif!$G$17</definedName>
    <definedName name="VergiOranı">[1]Teklif!$G$15</definedName>
    <definedName name="_xlnm.Print_Area" localSheetId="1">Sayfa5!$A$1:$F$48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2" l="1"/>
  <c r="C27" i="2"/>
  <c r="B27" i="2"/>
  <c r="C26" i="2"/>
  <c r="B26" i="2"/>
  <c r="C25" i="2"/>
  <c r="B25" i="2"/>
  <c r="B24" i="2"/>
  <c r="B23" i="2"/>
  <c r="B22" i="2"/>
  <c r="C21" i="2"/>
  <c r="C20" i="2"/>
  <c r="C19" i="2"/>
  <c r="F1" i="2"/>
  <c r="B75" i="1"/>
  <c r="I49" i="1"/>
  <c r="I48" i="1"/>
  <c r="I47" i="1"/>
  <c r="Q43" i="1"/>
  <c r="O40" i="1"/>
  <c r="F15" i="1"/>
  <c r="E15" i="1"/>
  <c r="F13" i="1"/>
  <c r="F12" i="1"/>
  <c r="F11" i="1"/>
  <c r="F10" i="1"/>
  <c r="L42" i="1" l="1"/>
  <c r="B19" i="2" s="1"/>
  <c r="L40" i="1" l="1"/>
  <c r="F14" i="1" s="1"/>
  <c r="J44" i="1" l="1"/>
  <c r="F9" i="1" s="1"/>
  <c r="B21" i="2"/>
  <c r="J41" i="1"/>
  <c r="F7" i="1"/>
  <c r="F8" i="1" l="1"/>
  <c r="F19" i="1" s="1"/>
  <c r="B20" i="2"/>
  <c r="Q40" i="1" l="1"/>
  <c r="F21" i="1"/>
  <c r="F20" i="1"/>
  <c r="D30" i="2" l="1"/>
  <c r="F22" i="1"/>
</calcChain>
</file>

<file path=xl/sharedStrings.xml><?xml version="1.0" encoding="utf-8"?>
<sst xmlns="http://schemas.openxmlformats.org/spreadsheetml/2006/main" count="89" uniqueCount="62">
  <si>
    <t>METREKARE</t>
  </si>
  <si>
    <t>PARKE</t>
  </si>
  <si>
    <t>SÜPÜRGELİK</t>
  </si>
  <si>
    <t>ŞİLTE</t>
  </si>
  <si>
    <t>PROFİL</t>
  </si>
  <si>
    <t>MASTİK</t>
  </si>
  <si>
    <t>SİLİKON</t>
  </si>
  <si>
    <t>TOPLAM :</t>
  </si>
  <si>
    <t>TEK ÇEKİM :</t>
  </si>
  <si>
    <t>9 TAKSİT :</t>
  </si>
  <si>
    <t>M² FİYATI :</t>
  </si>
  <si>
    <t>PARKELER</t>
  </si>
  <si>
    <t>YAN ÜRÜNLER</t>
  </si>
  <si>
    <t>toplam</t>
  </si>
  <si>
    <t>NAKLİYE</t>
  </si>
  <si>
    <t>MONTAJ</t>
  </si>
  <si>
    <t>ödeme</t>
  </si>
  <si>
    <t>PARKE SERİSİ</t>
  </si>
  <si>
    <t>KALINLIK</t>
  </si>
  <si>
    <t>FİYAT</t>
  </si>
  <si>
    <t>PAKET(M2)</t>
  </si>
  <si>
    <t>MALZEME</t>
  </si>
  <si>
    <t>TERRA 6 MM</t>
  </si>
  <si>
    <t>6 mm</t>
  </si>
  <si>
    <t>SÜP 6CM</t>
  </si>
  <si>
    <t>paket</t>
  </si>
  <si>
    <t>TERRA 7 MM</t>
  </si>
  <si>
    <t>7 mm</t>
  </si>
  <si>
    <t>SÜP 8CM</t>
  </si>
  <si>
    <t>birim fiyat</t>
  </si>
  <si>
    <t>TERRA 8 MM</t>
  </si>
  <si>
    <t>8 mm</t>
  </si>
  <si>
    <t>SÜP 10CM</t>
  </si>
  <si>
    <t>TERRA DERZLİ</t>
  </si>
  <si>
    <t>ŞİLTE 2MM</t>
  </si>
  <si>
    <t>VARIO DüZ</t>
  </si>
  <si>
    <t>ŞİLTE 3MM</t>
  </si>
  <si>
    <t>VARIO DERZLİ</t>
  </si>
  <si>
    <t>ŞİLTE 5MM</t>
  </si>
  <si>
    <t>33. SINIF</t>
  </si>
  <si>
    <t xml:space="preserve">SILVER DÜZ </t>
  </si>
  <si>
    <t>SILVER DERZLİ</t>
  </si>
  <si>
    <t xml:space="preserve">KLASİK DÜZ </t>
  </si>
  <si>
    <t>MODERN DERZLİ</t>
  </si>
  <si>
    <t xml:space="preserve">GLORIA </t>
  </si>
  <si>
    <t>MODERN LONG</t>
  </si>
  <si>
    <t>PLATINUM</t>
  </si>
  <si>
    <t>10 mm</t>
  </si>
  <si>
    <t>AVANGARD</t>
  </si>
  <si>
    <t>DIAMOND</t>
  </si>
  <si>
    <t>BELANDA</t>
  </si>
  <si>
    <t>FATURA EDİLEN</t>
  </si>
  <si>
    <t>TESLİMAT ADRESİ</t>
  </si>
  <si>
    <t>MİKTAR</t>
  </si>
  <si>
    <t>AÇIKLAMA</t>
  </si>
  <si>
    <t>CEKOMASTİK</t>
  </si>
  <si>
    <t>ALINAN :</t>
  </si>
  <si>
    <t>KALAN :</t>
  </si>
  <si>
    <t xml:space="preserve">METİN YETER </t>
  </si>
  <si>
    <t>sümer mah. İbo osman cad. no24\A</t>
  </si>
  <si>
    <t>SEYHAN/ ADANA</t>
  </si>
  <si>
    <t>DOĞRU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</si>
</sst>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&quot;₺&quot;#,##0"/>
    <numFmt numFmtId="165" formatCode="General\ &quot;PAKET&quot;"/>
    <numFmt numFmtId="166" formatCode="General\ &quot;BOY&quot;"/>
    <numFmt numFmtId="167" formatCode="General\ &quot;CM SÜPÜRGELİK&quot;"/>
    <numFmt numFmtId="168" formatCode="General\ &quot;BOY PROFİL&quot;;"/>
    <numFmt numFmtId="169" formatCode="General\ &quot;ADET&quot;"/>
    <numFmt numFmtId="170" formatCode="&quot;(&quot;@&quot;)&quot;"/>
    <numFmt numFmtId="171" formatCode="[$₺-41F]#,##0;\-[$₺-41F]#,##0"/>
    <numFmt numFmtId="172" formatCode="&quot;₺&quot;#,##0.00"/>
    <numFmt numFmtId="173" formatCode="&quot;KAT :&quot;\ General\ "/>
    <numFmt numFmtId="174" formatCode="&quot;:&quot;\ General\ "/>
    <numFmt numFmtId="175" formatCode="General\ &quot;MT.&quot;"/>
    <numFmt numFmtId="176" formatCode="[&lt;=9999999]###\-####;\(###\)\ ###\-####"/>
  </numFmts>
  <fonts count="20" x14ac:knownFonts="1">
    <font>
      <sz val="11"/>
      <color theme="1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sz val="8"/>
      <color rgb="FF000000"/>
      <name val="Segoe UI"/>
      <family val="2"/>
      <charset val="162"/>
    </font>
    <font>
      <sz val="11"/>
      <color theme="3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u/>
      <sz val="14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 tint="-0.249977111117893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6" tint="0.79998168889431442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8"/>
      <color rgb="FF1E1E1E"/>
      <name val="Segoe UI"/>
      <family val="2"/>
      <charset val="162"/>
    </font>
    <font>
      <b/>
      <sz val="14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u/>
      <sz val="11"/>
      <color theme="10"/>
      <name val="Calibri"/>
      <family val="2"/>
      <charset val="162"/>
      <scheme val="minor"/>
    </font>
    <font>
      <b/>
      <sz val="11"/>
      <color theme="0" tint="-0.249977111117893"/>
      <name val="Calibri"/>
      <family val="2"/>
      <charset val="162"/>
      <scheme val="minor"/>
    </font>
    <font>
      <b/>
      <sz val="11"/>
      <color theme="6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3" tint="0.749961851863155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dotted">
        <color theme="0" tint="-0.14999847407452621"/>
      </top>
      <bottom style="dotted">
        <color theme="0" tint="-0.149998474074526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0" borderId="1"/>
    <xf numFmtId="14" fontId="3" fillId="0" borderId="0">
      <alignment horizontal="left" vertical="top"/>
    </xf>
    <xf numFmtId="0" fontId="3" fillId="0" borderId="5">
      <alignment horizontal="left" vertical="center"/>
    </xf>
    <xf numFmtId="176" fontId="3" fillId="0" borderId="0">
      <alignment horizontal="left" vertical="top" wrapText="1"/>
    </xf>
    <xf numFmtId="0" fontId="4" fillId="3" borderId="0"/>
    <xf numFmtId="0" fontId="6" fillId="0" borderId="0"/>
    <xf numFmtId="43" fontId="4" fillId="0" borderId="0"/>
  </cellStyleXfs>
  <cellXfs count="117">
    <xf numFmtId="0" fontId="0" fillId="0" borderId="0" xfId="0"/>
    <xf numFmtId="0" fontId="7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7" fillId="0" borderId="0" xfId="0" applyFont="1" applyAlignment="1">
      <alignment horizontal="center" vertical="center"/>
    </xf>
    <xf numFmtId="164" fontId="8" fillId="5" borderId="10" xfId="0" applyNumberFormat="1" applyFont="1" applyFill="1" applyBorder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164" fontId="8" fillId="0" borderId="0" xfId="0" applyNumberFormat="1" applyFont="1"/>
    <xf numFmtId="165" fontId="7" fillId="8" borderId="15" xfId="0" applyNumberFormat="1" applyFont="1" applyFill="1" applyBorder="1" applyAlignment="1">
      <alignment horizontal="center" vertical="center"/>
    </xf>
    <xf numFmtId="0" fontId="7" fillId="8" borderId="0" xfId="0" applyFont="1" applyFill="1" applyAlignment="1">
      <alignment vertical="center"/>
    </xf>
    <xf numFmtId="166" fontId="7" fillId="5" borderId="15" xfId="0" applyNumberFormat="1" applyFont="1" applyFill="1" applyBorder="1" applyAlignment="1">
      <alignment horizontal="center" vertical="center"/>
    </xf>
    <xf numFmtId="167" fontId="7" fillId="5" borderId="0" xfId="0" applyNumberFormat="1" applyFont="1" applyFill="1" applyAlignment="1">
      <alignment horizontal="left" vertical="center"/>
    </xf>
    <xf numFmtId="168" fontId="7" fillId="5" borderId="0" xfId="0" applyNumberFormat="1" applyFont="1" applyFill="1" applyAlignment="1">
      <alignment vertical="center"/>
    </xf>
    <xf numFmtId="169" fontId="7" fillId="0" borderId="15" xfId="0" applyNumberFormat="1" applyFont="1" applyBorder="1" applyAlignment="1">
      <alignment horizontal="center" vertical="center"/>
    </xf>
    <xf numFmtId="169" fontId="7" fillId="5" borderId="15" xfId="0" applyNumberFormat="1" applyFont="1" applyFill="1" applyBorder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7" fillId="8" borderId="15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vertical="center"/>
    </xf>
    <xf numFmtId="14" fontId="7" fillId="0" borderId="0" xfId="0" applyNumberFormat="1" applyFont="1" applyAlignment="1">
      <alignment horizontal="left"/>
    </xf>
    <xf numFmtId="0" fontId="7" fillId="0" borderId="0" xfId="0" applyFont="1" applyAlignment="1">
      <alignment horizontal="left" indent="2"/>
    </xf>
    <xf numFmtId="0" fontId="9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left" indent="1"/>
    </xf>
    <xf numFmtId="22" fontId="7" fillId="0" borderId="0" xfId="0" applyNumberFormat="1" applyFont="1" applyAlignment="1">
      <alignment vertical="top"/>
    </xf>
    <xf numFmtId="0" fontId="7" fillId="7" borderId="14" xfId="5" applyFont="1" applyFill="1" applyBorder="1" applyAlignment="1">
      <alignment horizontal="center" vertical="center"/>
    </xf>
    <xf numFmtId="0" fontId="7" fillId="7" borderId="17" xfId="5" applyFont="1" applyFill="1" applyBorder="1" applyAlignment="1">
      <alignment vertical="center"/>
    </xf>
    <xf numFmtId="0" fontId="7" fillId="7" borderId="22" xfId="5" applyFont="1" applyFill="1" applyBorder="1" applyAlignment="1">
      <alignment vertical="center"/>
    </xf>
    <xf numFmtId="0" fontId="7" fillId="0" borderId="0" xfId="5" applyFont="1" applyFill="1" applyAlignment="1">
      <alignment vertical="center"/>
    </xf>
    <xf numFmtId="170" fontId="13" fillId="0" borderId="16" xfId="0" applyNumberFormat="1" applyFont="1" applyBorder="1"/>
    <xf numFmtId="170" fontId="7" fillId="0" borderId="0" xfId="0" applyNumberFormat="1" applyFont="1" applyAlignment="1">
      <alignment horizontal="left" vertical="center"/>
    </xf>
    <xf numFmtId="167" fontId="7" fillId="5" borderId="16" xfId="0" applyNumberFormat="1" applyFont="1" applyFill="1" applyBorder="1" applyAlignment="1">
      <alignment vertical="center"/>
    </xf>
    <xf numFmtId="167" fontId="7" fillId="0" borderId="0" xfId="0" applyNumberFormat="1" applyFont="1" applyAlignment="1">
      <alignment vertical="center"/>
    </xf>
    <xf numFmtId="0" fontId="7" fillId="0" borderId="16" xfId="0" applyFont="1" applyBorder="1" applyAlignment="1">
      <alignment vertical="center"/>
    </xf>
    <xf numFmtId="168" fontId="7" fillId="5" borderId="16" xfId="0" applyNumberFormat="1" applyFont="1" applyFill="1" applyBorder="1" applyAlignment="1">
      <alignment vertical="center"/>
    </xf>
    <xf numFmtId="0" fontId="7" fillId="5" borderId="16" xfId="0" applyFont="1" applyFill="1" applyBorder="1" applyAlignment="1">
      <alignment vertical="center"/>
    </xf>
    <xf numFmtId="0" fontId="7" fillId="8" borderId="4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164" fontId="7" fillId="0" borderId="0" xfId="0" applyNumberFormat="1" applyFont="1" applyAlignment="1">
      <alignment horizontal="left" indent="1"/>
    </xf>
    <xf numFmtId="170" fontId="7" fillId="0" borderId="0" xfId="0" applyNumberFormat="1" applyFont="1" applyAlignment="1">
      <alignment horizontal="left"/>
    </xf>
    <xf numFmtId="171" fontId="7" fillId="0" borderId="0" xfId="0" applyNumberFormat="1" applyFont="1" applyAlignment="1" applyProtection="1">
      <alignment horizontal="center"/>
      <protection hidden="1"/>
    </xf>
    <xf numFmtId="164" fontId="7" fillId="0" borderId="0" xfId="0" applyNumberFormat="1" applyFont="1" applyAlignment="1">
      <alignment horizontal="center"/>
    </xf>
    <xf numFmtId="172" fontId="7" fillId="0" borderId="0" xfId="0" applyNumberFormat="1" applyFont="1" applyAlignment="1">
      <alignment horizontal="center"/>
    </xf>
    <xf numFmtId="3" fontId="7" fillId="0" borderId="0" xfId="0" applyNumberFormat="1" applyFont="1" applyAlignment="1">
      <alignment horizontal="center"/>
    </xf>
    <xf numFmtId="173" fontId="7" fillId="0" borderId="0" xfId="0" applyNumberFormat="1" applyFont="1"/>
    <xf numFmtId="174" fontId="7" fillId="0" borderId="0" xfId="0" applyNumberFormat="1" applyFont="1" applyAlignment="1">
      <alignment horizontal="left" vertical="center"/>
    </xf>
    <xf numFmtId="0" fontId="14" fillId="0" borderId="0" xfId="0" applyFont="1" applyAlignment="1">
      <alignment vertical="center"/>
    </xf>
    <xf numFmtId="0" fontId="0" fillId="4" borderId="11" xfId="0" applyFill="1" applyBorder="1" applyAlignment="1">
      <alignment horizontal="right" vertical="center"/>
    </xf>
    <xf numFmtId="164" fontId="0" fillId="4" borderId="12" xfId="0" applyNumberFormat="1" applyFill="1" applyBorder="1"/>
    <xf numFmtId="0" fontId="0" fillId="0" borderId="7" xfId="0" applyBorder="1" applyAlignment="1">
      <alignment horizontal="right" vertical="center"/>
    </xf>
    <xf numFmtId="164" fontId="0" fillId="0" borderId="8" xfId="0" applyNumberFormat="1" applyBorder="1"/>
    <xf numFmtId="0" fontId="0" fillId="4" borderId="7" xfId="0" applyFill="1" applyBorder="1" applyAlignment="1">
      <alignment horizontal="right" vertical="center"/>
    </xf>
    <xf numFmtId="164" fontId="0" fillId="4" borderId="8" xfId="0" applyNumberFormat="1" applyFill="1" applyBorder="1"/>
    <xf numFmtId="0" fontId="1" fillId="2" borderId="21" xfId="1" applyFill="1" applyBorder="1" applyAlignment="1">
      <alignment vertical="center"/>
    </xf>
    <xf numFmtId="0" fontId="1" fillId="2" borderId="20" xfId="1" applyFill="1" applyBorder="1" applyAlignment="1">
      <alignment vertical="center"/>
    </xf>
    <xf numFmtId="164" fontId="7" fillId="0" borderId="0" xfId="0" applyNumberFormat="1" applyFont="1"/>
    <xf numFmtId="0" fontId="15" fillId="0" borderId="0" xfId="0" applyFont="1"/>
    <xf numFmtId="0" fontId="16" fillId="0" borderId="0" xfId="6" applyFont="1"/>
    <xf numFmtId="164" fontId="7" fillId="0" borderId="0" xfId="0" applyNumberFormat="1" applyFont="1" applyAlignment="1">
      <alignment horizontal="right"/>
    </xf>
    <xf numFmtId="164" fontId="17" fillId="0" borderId="0" xfId="0" applyNumberFormat="1" applyFont="1"/>
    <xf numFmtId="0" fontId="10" fillId="0" borderId="0" xfId="0" applyFont="1"/>
    <xf numFmtId="0" fontId="0" fillId="0" borderId="13" xfId="0" applyBorder="1"/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left" vertical="center" indent="3"/>
    </xf>
    <xf numFmtId="0" fontId="0" fillId="0" borderId="3" xfId="0" applyBorder="1" applyAlignment="1">
      <alignment horizontal="left" vertical="center" indent="2"/>
    </xf>
    <xf numFmtId="0" fontId="0" fillId="0" borderId="4" xfId="0" applyBorder="1" applyAlignment="1">
      <alignment horizontal="left" vertical="center" indent="3"/>
    </xf>
    <xf numFmtId="0" fontId="0" fillId="4" borderId="13" xfId="0" applyFill="1" applyBorder="1"/>
    <xf numFmtId="164" fontId="0" fillId="4" borderId="13" xfId="0" applyNumberFormat="1" applyFill="1" applyBorder="1"/>
    <xf numFmtId="164" fontId="0" fillId="0" borderId="13" xfId="0" applyNumberFormat="1" applyBorder="1"/>
    <xf numFmtId="164" fontId="0" fillId="4" borderId="13" xfId="0" applyNumberFormat="1" applyFill="1" applyBorder="1" applyAlignment="1">
      <alignment horizontal="right"/>
    </xf>
    <xf numFmtId="164" fontId="0" fillId="4" borderId="13" xfId="0" applyNumberFormat="1" applyFill="1" applyBorder="1" applyAlignment="1">
      <alignment horizontal="right" vertical="center"/>
    </xf>
    <xf numFmtId="164" fontId="0" fillId="0" borderId="13" xfId="0" applyNumberFormat="1" applyBorder="1" applyAlignment="1">
      <alignment horizontal="right" vertical="center"/>
    </xf>
    <xf numFmtId="164" fontId="0" fillId="4" borderId="13" xfId="0" applyNumberFormat="1" applyFill="1" applyBorder="1" applyAlignment="1">
      <alignment horizontal="left" indent="2"/>
    </xf>
    <xf numFmtId="0" fontId="0" fillId="4" borderId="13" xfId="0" applyFill="1" applyBorder="1" applyAlignment="1">
      <alignment horizontal="right" vertical="center" indent="1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164" fontId="0" fillId="0" borderId="0" xfId="0" applyNumberFormat="1"/>
    <xf numFmtId="0" fontId="0" fillId="5" borderId="9" xfId="0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22" fontId="7" fillId="0" borderId="3" xfId="0" applyNumberFormat="1" applyFont="1" applyBorder="1" applyAlignment="1">
      <alignment vertical="top"/>
    </xf>
    <xf numFmtId="175" fontId="7" fillId="0" borderId="15" xfId="7" applyNumberFormat="1" applyFont="1" applyBorder="1" applyAlignment="1">
      <alignment horizontal="center" vertical="center"/>
    </xf>
    <xf numFmtId="49" fontId="7" fillId="0" borderId="0" xfId="0" applyNumberFormat="1" applyFont="1"/>
    <xf numFmtId="49" fontId="7" fillId="0" borderId="3" xfId="0" applyNumberFormat="1" applyFont="1" applyBorder="1"/>
    <xf numFmtId="0" fontId="1" fillId="2" borderId="18" xfId="1" applyFill="1" applyBorder="1" applyAlignment="1">
      <alignment horizontal="center" vertical="center"/>
    </xf>
    <xf numFmtId="0" fontId="0" fillId="0" borderId="27" xfId="0" applyBorder="1"/>
    <xf numFmtId="0" fontId="18" fillId="0" borderId="0" xfId="0" applyFont="1" applyAlignment="1">
      <alignment horizontal="center" vertical="center"/>
    </xf>
    <xf numFmtId="0" fontId="7" fillId="0" borderId="0" xfId="0" applyFont="1"/>
    <xf numFmtId="0" fontId="1" fillId="2" borderId="25" xfId="1" applyFill="1" applyBorder="1" applyAlignment="1">
      <alignment horizontal="center" vertical="center"/>
    </xf>
    <xf numFmtId="0" fontId="0" fillId="0" borderId="20" xfId="0" applyBorder="1"/>
    <xf numFmtId="0" fontId="7" fillId="0" borderId="0" xfId="0" applyFont="1" applyAlignment="1">
      <alignment horizontal="center"/>
    </xf>
    <xf numFmtId="0" fontId="1" fillId="2" borderId="19" xfId="1" applyFill="1" applyBorder="1" applyAlignment="1">
      <alignment horizontal="center" vertical="center"/>
    </xf>
    <xf numFmtId="0" fontId="0" fillId="0" borderId="21" xfId="0" applyBorder="1"/>
    <xf numFmtId="0" fontId="7" fillId="6" borderId="0" xfId="0" applyFont="1" applyFill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4" xfId="0" applyBorder="1"/>
    <xf numFmtId="1" fontId="18" fillId="0" borderId="0" xfId="0" applyNumberFormat="1" applyFont="1" applyAlignment="1">
      <alignment horizontal="center" vertical="center"/>
    </xf>
    <xf numFmtId="0" fontId="7" fillId="6" borderId="0" xfId="0" applyFont="1" applyFill="1" applyAlignment="1">
      <alignment horizontal="center"/>
    </xf>
    <xf numFmtId="0" fontId="1" fillId="2" borderId="21" xfId="1" applyFill="1" applyBorder="1" applyAlignment="1">
      <alignment horizontal="center" vertical="center"/>
    </xf>
    <xf numFmtId="0" fontId="12" fillId="0" borderId="10" xfId="0" applyFont="1" applyBorder="1" applyAlignment="1">
      <alignment horizontal="center"/>
    </xf>
    <xf numFmtId="0" fontId="0" fillId="0" borderId="10" xfId="0" applyBorder="1"/>
    <xf numFmtId="49" fontId="7" fillId="0" borderId="24" xfId="0" applyNumberFormat="1" applyFont="1" applyBorder="1" applyAlignment="1">
      <alignment horizontal="center" vertical="top"/>
    </xf>
    <xf numFmtId="0" fontId="0" fillId="0" borderId="24" xfId="0" applyBorder="1"/>
    <xf numFmtId="49" fontId="12" fillId="0" borderId="0" xfId="0" applyNumberFormat="1" applyFont="1" applyAlignment="1">
      <alignment horizontal="center" vertical="center"/>
    </xf>
    <xf numFmtId="0" fontId="12" fillId="0" borderId="9" xfId="0" applyFont="1" applyBorder="1" applyAlignment="1">
      <alignment horizontal="left" indent="1"/>
    </xf>
    <xf numFmtId="0" fontId="0" fillId="0" borderId="6" xfId="0" applyBorder="1"/>
    <xf numFmtId="0" fontId="12" fillId="0" borderId="23" xfId="0" applyFont="1" applyBorder="1" applyAlignment="1">
      <alignment horizontal="center"/>
    </xf>
    <xf numFmtId="0" fontId="0" fillId="0" borderId="23" xfId="0" applyBorder="1"/>
    <xf numFmtId="0" fontId="12" fillId="0" borderId="0" xfId="0" applyFont="1" applyAlignment="1">
      <alignment horizontal="center" vertical="top"/>
    </xf>
  </cellXfs>
  <cellStyles count="8">
    <cellStyle name="%40 - Vurgu3" xfId="5" builtinId="39"/>
    <cellStyle name="Alt Kenarlık" xfId="3" xr:uid="{00000000-0005-0000-0000-000003000000}"/>
    <cellStyle name="Başlık 2" xfId="1" builtinId="17"/>
    <cellStyle name="Köprü" xfId="6" builtinId="8"/>
    <cellStyle name="Normal" xfId="0" builtinId="0"/>
    <cellStyle name="Tarih" xfId="2" xr:uid="{00000000-0005-0000-0000-000002000000}"/>
    <cellStyle name="Telefon" xfId="4" xr:uid="{00000000-0005-0000-0000-000004000000}"/>
    <cellStyle name="Virgül" xfId="7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7" dropStyle="combo" dx="26" fmlaLink="Sayfa1!$B$74" fmlaRange="$B$41:$B$57" sel="3" val="0"/>
</file>

<file path=xl/ctrlProps/ctrlProp2.xml><?xml version="1.0" encoding="utf-8"?>
<formControlPr xmlns="http://schemas.microsoft.com/office/spreadsheetml/2009/9/main" objectType="Drop" dropLines="4" dropStyle="combo" dx="26" fmlaLink="Sayfa1!$I$44" fmlaRange="Sayfa1!$G$44:$G$46" noThreeD="1" sel="1" val="0"/>
</file>

<file path=xl/ctrlProps/ctrlProp3.xml><?xml version="1.0" encoding="utf-8"?>
<formControlPr xmlns="http://schemas.microsoft.com/office/spreadsheetml/2009/9/main" objectType="Drop" dropLines="4" dropStyle="combo" dx="26" fmlaLink="Sayfa1!$I$41" fmlaRange="Sayfa1!$G$41:$G$43" noThreeD="1" sel="1" val="0"/>
</file>

<file path=xl/ctrlProps/ctrlProp4.xml><?xml version="1.0" encoding="utf-8"?>
<formControlPr xmlns="http://schemas.microsoft.com/office/spreadsheetml/2009/9/main" objectType="CheckBox" checked="Checked" fmlaLink="Sayfa1!$O$41" lockText="1"/>
</file>

<file path=xl/ctrlProps/ctrlProp5.xml><?xml version="1.0" encoding="utf-8"?>
<formControlPr xmlns="http://schemas.microsoft.com/office/spreadsheetml/2009/9/main" objectType="CheckBox" checked="Checked" fmlaLink="Sayfa1!$N$41" lockText="1"/>
</file>

<file path=xl/ctrlProps/ctrlProp6.xml><?xml version="1.0" encoding="utf-8"?>
<formControlPr xmlns="http://schemas.microsoft.com/office/spreadsheetml/2009/9/main" objectType="Spin" dx="22" fmlaLink="$J$4" max="30000" page="10" val="2"/>
</file>

<file path=xl/ctrlProps/ctrlProp7.xml><?xml version="1.0" encoding="utf-8"?>
<formControlPr xmlns="http://schemas.microsoft.com/office/spreadsheetml/2009/9/main" objectType="Spin" dx="22" fmlaLink="$K$4" max="30000" page="10" val="2"/>
</file>

<file path=xl/ctrlProps/ctrlProp8.xml><?xml version="1.0" encoding="utf-8"?>
<formControlPr xmlns="http://schemas.microsoft.com/office/spreadsheetml/2009/9/main" objectType="Spin" dx="22" fmlaLink="$L$4" max="30000" page="10"/>
</file>

<file path=xl/ctrlProps/ctrlProp9.xml><?xml version="1.0" encoding="utf-8"?>
<formControlPr xmlns="http://schemas.microsoft.com/office/spreadsheetml/2009/9/main" objectType="Radio" checked="Checked" firstButton="1" fmlaLink="Sayfa1!$R$39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Sayfa1!$O$42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5</xdr:col>
          <xdr:colOff>7620</xdr:colOff>
          <xdr:row>3</xdr:row>
          <xdr:rowOff>228600</xdr:rowOff>
        </xdr:to>
        <xdr:sp macro="" textlink="">
          <xdr:nvSpPr>
            <xdr:cNvPr id="1029" name="Açıla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3</xdr:row>
          <xdr:rowOff>0</xdr:rowOff>
        </xdr:from>
        <xdr:to>
          <xdr:col>9</xdr:col>
          <xdr:colOff>22860</xdr:colOff>
          <xdr:row>3</xdr:row>
          <xdr:rowOff>228600</xdr:rowOff>
        </xdr:to>
        <xdr:sp macro="" textlink="">
          <xdr:nvSpPr>
            <xdr:cNvPr id="1030" name="Açıla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3</xdr:row>
          <xdr:rowOff>0</xdr:rowOff>
        </xdr:from>
        <xdr:to>
          <xdr:col>6</xdr:col>
          <xdr:colOff>586740</xdr:colOff>
          <xdr:row>3</xdr:row>
          <xdr:rowOff>220980</xdr:rowOff>
        </xdr:to>
        <xdr:sp macro="" textlink="">
          <xdr:nvSpPr>
            <xdr:cNvPr id="1031" name="Açıla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13</xdr:row>
          <xdr:rowOff>7620</xdr:rowOff>
        </xdr:from>
        <xdr:to>
          <xdr:col>5</xdr:col>
          <xdr:colOff>15240</xdr:colOff>
          <xdr:row>14</xdr:row>
          <xdr:rowOff>7620</xdr:rowOff>
        </xdr:to>
        <xdr:sp macro="" textlink="">
          <xdr:nvSpPr>
            <xdr:cNvPr id="1032" name="Onay Kutusu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MONTAJ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12</xdr:row>
          <xdr:rowOff>0</xdr:rowOff>
        </xdr:from>
        <xdr:to>
          <xdr:col>5</xdr:col>
          <xdr:colOff>45720</xdr:colOff>
          <xdr:row>13</xdr:row>
          <xdr:rowOff>7620</xdr:rowOff>
        </xdr:to>
        <xdr:sp macro="" textlink="">
          <xdr:nvSpPr>
            <xdr:cNvPr id="1033" name="Onay Kutusu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NAKLİYE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525780</xdr:colOff>
          <xdr:row>3</xdr:row>
          <xdr:rowOff>7620</xdr:rowOff>
        </xdr:from>
        <xdr:to>
          <xdr:col>10</xdr:col>
          <xdr:colOff>7620</xdr:colOff>
          <xdr:row>4</xdr:row>
          <xdr:rowOff>0</xdr:rowOff>
        </xdr:to>
        <xdr:sp macro="" textlink="">
          <xdr:nvSpPr>
            <xdr:cNvPr id="1034" name="Değer Değiştirici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373380</xdr:colOff>
          <xdr:row>3</xdr:row>
          <xdr:rowOff>7620</xdr:rowOff>
        </xdr:from>
        <xdr:to>
          <xdr:col>10</xdr:col>
          <xdr:colOff>601980</xdr:colOff>
          <xdr:row>3</xdr:row>
          <xdr:rowOff>236220</xdr:rowOff>
        </xdr:to>
        <xdr:sp macro="" textlink="">
          <xdr:nvSpPr>
            <xdr:cNvPr id="1037" name="Değer Değiştirici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518160</xdr:colOff>
          <xdr:row>3</xdr:row>
          <xdr:rowOff>7620</xdr:rowOff>
        </xdr:from>
        <xdr:to>
          <xdr:col>12</xdr:col>
          <xdr:colOff>0</xdr:colOff>
          <xdr:row>3</xdr:row>
          <xdr:rowOff>236220</xdr:rowOff>
        </xdr:to>
        <xdr:sp macro="" textlink="">
          <xdr:nvSpPr>
            <xdr:cNvPr id="1038" name="Değer Değiştirici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822960</xdr:colOff>
          <xdr:row>18</xdr:row>
          <xdr:rowOff>0</xdr:rowOff>
        </xdr:from>
        <xdr:to>
          <xdr:col>5</xdr:col>
          <xdr:colOff>716280</xdr:colOff>
          <xdr:row>19</xdr:row>
          <xdr:rowOff>7620</xdr:rowOff>
        </xdr:to>
        <xdr:sp macro="" textlink="">
          <xdr:nvSpPr>
            <xdr:cNvPr id="1040" name="Seçenek Düğmesi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822960</xdr:colOff>
          <xdr:row>18</xdr:row>
          <xdr:rowOff>175260</xdr:rowOff>
        </xdr:from>
        <xdr:to>
          <xdr:col>5</xdr:col>
          <xdr:colOff>731520</xdr:colOff>
          <xdr:row>20</xdr:row>
          <xdr:rowOff>30480</xdr:rowOff>
        </xdr:to>
        <xdr:sp macro="" textlink="">
          <xdr:nvSpPr>
            <xdr:cNvPr id="1041" name="Seçenek Düğmesi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822960</xdr:colOff>
          <xdr:row>20</xdr:row>
          <xdr:rowOff>0</xdr:rowOff>
        </xdr:from>
        <xdr:to>
          <xdr:col>5</xdr:col>
          <xdr:colOff>723900</xdr:colOff>
          <xdr:row>21</xdr:row>
          <xdr:rowOff>7620</xdr:rowOff>
        </xdr:to>
        <xdr:sp macro="" textlink="">
          <xdr:nvSpPr>
            <xdr:cNvPr id="1042" name="Seçenek Düğmesi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464820</xdr:colOff>
          <xdr:row>19</xdr:row>
          <xdr:rowOff>0</xdr:rowOff>
        </xdr:from>
        <xdr:to>
          <xdr:col>8</xdr:col>
          <xdr:colOff>480060</xdr:colOff>
          <xdr:row>20</xdr:row>
          <xdr:rowOff>38100</xdr:rowOff>
        </xdr:to>
        <xdr:sp macro="" textlink="">
          <xdr:nvSpPr>
            <xdr:cNvPr id="1047" name="Düğme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YAZDIR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14</xdr:row>
          <xdr:rowOff>0</xdr:rowOff>
        </xdr:from>
        <xdr:to>
          <xdr:col>5</xdr:col>
          <xdr:colOff>0</xdr:colOff>
          <xdr:row>14</xdr:row>
          <xdr:rowOff>175260</xdr:rowOff>
        </xdr:to>
        <xdr:sp macro="" textlink="">
          <xdr:nvSpPr>
            <xdr:cNvPr id="1049" name="Onay Kutusu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     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457200</xdr:colOff>
      <xdr:row>0</xdr:row>
      <xdr:rowOff>76200</xdr:rowOff>
    </xdr:from>
    <xdr:to>
      <xdr:col>5</xdr:col>
      <xdr:colOff>389467</xdr:colOff>
      <xdr:row>7</xdr:row>
      <xdr:rowOff>165856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57200" y="76200"/>
          <a:ext cx="4470400" cy="163058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3</xdr:col>
      <xdr:colOff>428407</xdr:colOff>
      <xdr:row>44</xdr:row>
      <xdr:rowOff>189652</xdr:rowOff>
    </xdr:from>
    <xdr:to>
      <xdr:col>3</xdr:col>
      <xdr:colOff>702730</xdr:colOff>
      <xdr:row>46</xdr:row>
      <xdr:rowOff>117688</xdr:rowOff>
    </xdr:to>
    <xdr:pic>
      <xdr:nvPicPr>
        <xdr:cNvPr id="4" name="Grafik 3" descr="İşaretleyici düz dolguyla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340940" y="8774852"/>
          <a:ext cx="274323" cy="342903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220271</xdr:colOff>
      <xdr:row>44</xdr:row>
      <xdr:rowOff>180476</xdr:rowOff>
    </xdr:from>
    <xdr:to>
      <xdr:col>1</xdr:col>
      <xdr:colOff>64323</xdr:colOff>
      <xdr:row>46</xdr:row>
      <xdr:rowOff>108512</xdr:rowOff>
    </xdr:to>
    <xdr:pic>
      <xdr:nvPicPr>
        <xdr:cNvPr id="6" name="Grafik 5" descr="Hoparlörlü Telefon düz dolguyla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20271" y="8765676"/>
          <a:ext cx="309719" cy="342903"/>
        </a:xfrm>
        <a:prstGeom prst="rect">
          <a:avLst/>
        </a:prstGeom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04;n&#351;aat%20teklifi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klif"/>
    </sheetNames>
    <sheetDataSet>
      <sheetData sheetId="0">
        <row r="15">
          <cell r="G15">
            <v>7.7499999999999999E-2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85"/>
  <sheetViews>
    <sheetView tabSelected="1" zoomScaleNormal="100" workbookViewId="0">
      <selection activeCell="B4" sqref="B4:C4"/>
    </sheetView>
  </sheetViews>
  <sheetFormatPr defaultRowHeight="14.4" x14ac:dyDescent="0.3"/>
  <cols>
    <col min="1" max="1" width="12.6640625" style="1" customWidth="1"/>
    <col min="2" max="2" width="15.109375" style="1" bestFit="1" customWidth="1"/>
    <col min="3" max="3" width="11.6640625" style="1" bestFit="1" customWidth="1"/>
    <col min="4" max="4" width="12.33203125" style="1" customWidth="1"/>
    <col min="5" max="5" width="13.44140625" style="1" customWidth="1"/>
    <col min="6" max="6" width="11.88671875" style="1" customWidth="1"/>
    <col min="7" max="7" width="9.77734375" style="1" bestFit="1" customWidth="1"/>
    <col min="8" max="9" width="8.88671875" style="1" customWidth="1"/>
    <col min="10" max="10" width="10.77734375" style="1" customWidth="1"/>
    <col min="11" max="11" width="8.88671875" style="1" customWidth="1"/>
    <col min="12" max="12" width="11" style="1" bestFit="1" customWidth="1"/>
    <col min="13" max="13" width="11.109375" style="1" bestFit="1" customWidth="1"/>
    <col min="14" max="14" width="10.6640625" style="1" bestFit="1" customWidth="1"/>
    <col min="15" max="15" width="11" style="1" bestFit="1" customWidth="1"/>
    <col min="16" max="20" width="8.88671875" style="1" customWidth="1"/>
    <col min="21" max="16384" width="8.88671875" style="1"/>
  </cols>
  <sheetData>
    <row r="1" spans="1:16" x14ac:dyDescent="0.3">
      <c r="A1"/>
      <c r="B1"/>
      <c r="C1"/>
      <c r="D1"/>
      <c r="E1"/>
      <c r="F1"/>
      <c r="G1"/>
      <c r="H1"/>
      <c r="I1"/>
    </row>
    <row r="2" spans="1:16" ht="15" customHeight="1" thickBot="1" x14ac:dyDescent="0.35"/>
    <row r="3" spans="1:16" ht="18" customHeight="1" thickBot="1" x14ac:dyDescent="0.35">
      <c r="B3" s="96" t="s">
        <v>0</v>
      </c>
      <c r="C3" s="97"/>
      <c r="D3" s="99" t="s">
        <v>1</v>
      </c>
      <c r="E3" s="100"/>
      <c r="F3" s="92" t="s">
        <v>2</v>
      </c>
      <c r="G3" s="93"/>
      <c r="H3" s="106" t="s">
        <v>3</v>
      </c>
      <c r="I3" s="100"/>
      <c r="J3" s="61" t="s">
        <v>4</v>
      </c>
      <c r="K3" s="61" t="s">
        <v>5</v>
      </c>
      <c r="L3" s="62" t="s">
        <v>6</v>
      </c>
    </row>
    <row r="4" spans="1:16" ht="19.5" customHeight="1" thickBot="1" x14ac:dyDescent="0.35">
      <c r="B4" s="102">
        <v>100</v>
      </c>
      <c r="C4" s="103"/>
      <c r="D4" s="70"/>
      <c r="E4" s="71"/>
      <c r="F4" s="71"/>
      <c r="G4" s="71"/>
      <c r="H4" s="71"/>
      <c r="I4" s="71"/>
      <c r="J4" s="72">
        <v>2</v>
      </c>
      <c r="K4" s="73">
        <v>2</v>
      </c>
      <c r="L4" s="74">
        <v>1</v>
      </c>
    </row>
    <row r="7" spans="1:16" x14ac:dyDescent="0.3">
      <c r="E7" s="75" t="s">
        <v>1</v>
      </c>
      <c r="F7" s="76">
        <f ca="1">L40*Q43</f>
        <v>22840.290000000005</v>
      </c>
      <c r="I7" s="98"/>
      <c r="J7" s="95"/>
      <c r="K7" s="95"/>
      <c r="L7" s="95"/>
      <c r="M7" s="95"/>
      <c r="N7" s="95"/>
      <c r="O7" s="95"/>
      <c r="P7" s="95"/>
    </row>
    <row r="8" spans="1:16" x14ac:dyDescent="0.3">
      <c r="E8" s="69" t="s">
        <v>2</v>
      </c>
      <c r="F8" s="77">
        <f ca="1">IF(I41=1,J41*H41,IF(I41=2,J41*H42,IF(I41=3,J41*H43,IF(I41=4,"YOK"))))</f>
        <v>2220</v>
      </c>
      <c r="J8" s="63"/>
    </row>
    <row r="9" spans="1:16" x14ac:dyDescent="0.3">
      <c r="E9" s="75" t="s">
        <v>3</v>
      </c>
      <c r="F9" s="78">
        <f ca="1">IF(I44=1,J44*H44,IF(I44=2,J44*H45,IF(I44=3,J44*H46,IF(I44=4,"yok",))))</f>
        <v>1500</v>
      </c>
    </row>
    <row r="10" spans="1:16" x14ac:dyDescent="0.3">
      <c r="E10" s="69" t="s">
        <v>4</v>
      </c>
      <c r="F10" s="77">
        <f>PRODUCT(J4,H47)</f>
        <v>200</v>
      </c>
      <c r="I10" s="63"/>
    </row>
    <row r="11" spans="1:16" x14ac:dyDescent="0.3">
      <c r="E11" s="75" t="s">
        <v>5</v>
      </c>
      <c r="F11" s="76">
        <f>K4*H48</f>
        <v>150</v>
      </c>
    </row>
    <row r="12" spans="1:16" x14ac:dyDescent="0.3">
      <c r="E12" s="69" t="s">
        <v>6</v>
      </c>
      <c r="F12" s="77">
        <f>L4*H49</f>
        <v>75</v>
      </c>
    </row>
    <row r="13" spans="1:16" x14ac:dyDescent="0.3">
      <c r="C13" s="64"/>
      <c r="E13" s="75"/>
      <c r="F13" s="79">
        <f>IF(N41,N40,"0")</f>
        <v>500</v>
      </c>
    </row>
    <row r="14" spans="1:16" x14ac:dyDescent="0.3">
      <c r="E14" s="69"/>
      <c r="F14" s="80">
        <f ca="1">IF(O41,O40*L40,"0")</f>
        <v>5583.1820000000007</v>
      </c>
      <c r="L14" s="65"/>
    </row>
    <row r="15" spans="1:16" x14ac:dyDescent="0.3">
      <c r="E15" s="81" t="str">
        <f>IF(O42,"EŞYALI","EŞYASIZ")</f>
        <v>EŞYASIZ</v>
      </c>
      <c r="F15" s="82" t="str">
        <f>IF(O42,"✓","✗")</f>
        <v>✗</v>
      </c>
    </row>
    <row r="16" spans="1:16" ht="10.5" customHeight="1" x14ac:dyDescent="0.3"/>
    <row r="17" spans="5:6" x14ac:dyDescent="0.3">
      <c r="F17" s="66"/>
    </row>
    <row r="18" spans="5:6" x14ac:dyDescent="0.3">
      <c r="F18" s="85"/>
    </row>
    <row r="19" spans="5:6" x14ac:dyDescent="0.3">
      <c r="E19" s="55" t="s">
        <v>7</v>
      </c>
      <c r="F19" s="56">
        <f ca="1">SUM(F7:F15)</f>
        <v>33068.472000000009</v>
      </c>
    </row>
    <row r="20" spans="5:6" x14ac:dyDescent="0.3">
      <c r="E20" s="57" t="s">
        <v>8</v>
      </c>
      <c r="F20" s="58">
        <f ca="1">PRODUCT(F19,1.0239)</f>
        <v>33858.808480800013</v>
      </c>
    </row>
    <row r="21" spans="5:6" x14ac:dyDescent="0.3">
      <c r="E21" s="59" t="s">
        <v>9</v>
      </c>
      <c r="F21" s="60">
        <f ca="1">PRODUCT(F19,1.16)</f>
        <v>38359.427520000005</v>
      </c>
    </row>
    <row r="22" spans="5:6" x14ac:dyDescent="0.3">
      <c r="E22" s="57" t="s">
        <v>10</v>
      </c>
      <c r="F22" s="58">
        <f ca="1">Q40/L40</f>
        <v>325.75795666342242</v>
      </c>
    </row>
    <row r="23" spans="5:6" x14ac:dyDescent="0.3">
      <c r="E23" s="86"/>
      <c r="F23" s="5"/>
    </row>
    <row r="24" spans="5:6" x14ac:dyDescent="0.3">
      <c r="E24" s="87"/>
      <c r="F24" s="14"/>
    </row>
    <row r="25" spans="5:6" x14ac:dyDescent="0.3">
      <c r="E25" s="10"/>
      <c r="F25" s="67"/>
    </row>
    <row r="26" spans="5:6" x14ac:dyDescent="0.3">
      <c r="E26" s="10"/>
      <c r="F26" s="67"/>
    </row>
    <row r="27" spans="5:6" x14ac:dyDescent="0.3">
      <c r="E27" s="10"/>
      <c r="F27" s="67"/>
    </row>
    <row r="28" spans="5:6" x14ac:dyDescent="0.3">
      <c r="E28" s="10"/>
      <c r="F28" s="67"/>
    </row>
    <row r="29" spans="5:6" x14ac:dyDescent="0.3">
      <c r="E29" s="10"/>
      <c r="F29" s="67"/>
    </row>
    <row r="30" spans="5:6" x14ac:dyDescent="0.3">
      <c r="E30" s="10"/>
      <c r="F30" s="67"/>
    </row>
    <row r="31" spans="5:6" x14ac:dyDescent="0.3">
      <c r="E31" s="10"/>
      <c r="F31" s="67"/>
    </row>
    <row r="32" spans="5:6" x14ac:dyDescent="0.3">
      <c r="E32" s="10"/>
      <c r="F32" s="67"/>
    </row>
    <row r="33" spans="1:19" x14ac:dyDescent="0.3">
      <c r="E33" s="10"/>
      <c r="F33" s="67"/>
    </row>
    <row r="34" spans="1:19" x14ac:dyDescent="0.3">
      <c r="E34" s="10"/>
      <c r="F34" s="67"/>
    </row>
    <row r="35" spans="1:19" x14ac:dyDescent="0.3">
      <c r="E35" s="10"/>
      <c r="F35" s="67"/>
      <c r="K35" s="84"/>
    </row>
    <row r="36" spans="1:19" x14ac:dyDescent="0.3">
      <c r="E36" s="10"/>
      <c r="F36" s="67"/>
      <c r="K36" s="84"/>
      <c r="M36" s="84"/>
    </row>
    <row r="37" spans="1:19" x14ac:dyDescent="0.3">
      <c r="E37" s="10"/>
      <c r="F37" s="67"/>
      <c r="K37" s="84"/>
      <c r="M37" s="84"/>
      <c r="P37" s="84"/>
      <c r="R37" s="84"/>
      <c r="S37" s="84"/>
    </row>
    <row r="38" spans="1:19" x14ac:dyDescent="0.3">
      <c r="E38" s="10"/>
      <c r="F38" s="67"/>
      <c r="I38" s="84"/>
      <c r="J38" s="84"/>
      <c r="K38" s="84"/>
      <c r="M38" s="84"/>
      <c r="P38" s="84"/>
      <c r="R38" s="84"/>
      <c r="S38" s="84"/>
    </row>
    <row r="39" spans="1:19" x14ac:dyDescent="0.3">
      <c r="A39" s="4"/>
      <c r="B39" s="101" t="s">
        <v>11</v>
      </c>
      <c r="C39" s="95"/>
      <c r="D39" s="95"/>
      <c r="E39" s="95"/>
      <c r="F39" s="4"/>
      <c r="G39" s="105" t="s">
        <v>12</v>
      </c>
      <c r="H39" s="95"/>
      <c r="I39" s="84"/>
      <c r="J39" s="84"/>
      <c r="K39" s="84"/>
      <c r="L39" s="4" t="s">
        <v>13</v>
      </c>
      <c r="M39" s="83"/>
      <c r="N39" s="4" t="s">
        <v>14</v>
      </c>
      <c r="O39" s="4" t="s">
        <v>15</v>
      </c>
      <c r="P39" s="84"/>
      <c r="Q39" s="4" t="s">
        <v>16</v>
      </c>
      <c r="R39" s="94">
        <v>1</v>
      </c>
      <c r="S39" s="84"/>
    </row>
    <row r="40" spans="1:19" x14ac:dyDescent="0.3">
      <c r="A40" s="4"/>
      <c r="B40" s="4" t="s">
        <v>17</v>
      </c>
      <c r="C40" s="4" t="s">
        <v>18</v>
      </c>
      <c r="D40" s="4" t="s">
        <v>19</v>
      </c>
      <c r="E40" s="4" t="s">
        <v>20</v>
      </c>
      <c r="F40" s="4"/>
      <c r="G40" s="4" t="s">
        <v>21</v>
      </c>
      <c r="H40" s="4" t="s">
        <v>19</v>
      </c>
      <c r="I40" s="83"/>
      <c r="J40" s="83"/>
      <c r="K40" s="83"/>
      <c r="L40" s="4">
        <f ca="1">B75*L42</f>
        <v>101.51240000000001</v>
      </c>
      <c r="M40" s="83"/>
      <c r="N40" s="13">
        <v>500</v>
      </c>
      <c r="O40" s="1">
        <f>IF(O42,60,55)</f>
        <v>55</v>
      </c>
      <c r="P40" s="84"/>
      <c r="Q40" s="11">
        <f ca="1">IF(R39=1,F19,IF(R39=2,F20,IF(R39=3,F21)))</f>
        <v>33068.472000000009</v>
      </c>
      <c r="R40" s="95"/>
      <c r="S40" s="84"/>
    </row>
    <row r="41" spans="1:19" x14ac:dyDescent="0.3">
      <c r="A41" s="4"/>
      <c r="B41" s="9" t="s">
        <v>22</v>
      </c>
      <c r="C41" s="13" t="s">
        <v>23</v>
      </c>
      <c r="D41" s="13">
        <v>215</v>
      </c>
      <c r="E41" s="13">
        <v>3.2519</v>
      </c>
      <c r="F41" s="4"/>
      <c r="G41" s="4" t="s">
        <v>24</v>
      </c>
      <c r="H41" s="13">
        <v>60</v>
      </c>
      <c r="I41" s="94">
        <v>1</v>
      </c>
      <c r="J41" s="104">
        <f ca="1">ROUNDUP(L40/2.8,0)</f>
        <v>37</v>
      </c>
      <c r="K41" s="84"/>
      <c r="L41" s="4" t="s">
        <v>25</v>
      </c>
      <c r="M41" s="83"/>
      <c r="N41" s="83" t="s">
        <v>61</v>
      </c>
      <c r="O41" s="84" t="s">
        <v>61</v>
      </c>
      <c r="P41" s="84"/>
      <c r="Q41" s="11"/>
      <c r="R41" s="83"/>
      <c r="S41" s="84"/>
    </row>
    <row r="42" spans="1:19" x14ac:dyDescent="0.3">
      <c r="A42" s="4"/>
      <c r="B42" s="9" t="s">
        <v>26</v>
      </c>
      <c r="C42" s="13" t="s">
        <v>27</v>
      </c>
      <c r="D42" s="13">
        <v>230</v>
      </c>
      <c r="E42" s="13">
        <v>2.7885</v>
      </c>
      <c r="F42" s="4"/>
      <c r="G42" s="4" t="s">
        <v>28</v>
      </c>
      <c r="H42" s="13">
        <v>100</v>
      </c>
      <c r="I42" s="95"/>
      <c r="J42" s="95"/>
      <c r="K42" s="84"/>
      <c r="L42" s="4">
        <f ca="1">ROUNDUP(B4/B75,0)</f>
        <v>44</v>
      </c>
      <c r="M42" s="83"/>
      <c r="N42" s="84"/>
      <c r="O42" s="84" t="b">
        <v>0</v>
      </c>
      <c r="P42" s="84"/>
      <c r="Q42" s="4" t="s">
        <v>29</v>
      </c>
      <c r="R42" s="83"/>
      <c r="S42" s="84"/>
    </row>
    <row r="43" spans="1:19" x14ac:dyDescent="0.3">
      <c r="A43" s="4"/>
      <c r="B43" s="9" t="s">
        <v>30</v>
      </c>
      <c r="C43" s="13" t="s">
        <v>31</v>
      </c>
      <c r="D43" s="13">
        <v>225</v>
      </c>
      <c r="E43" s="13">
        <v>2.3071000000000002</v>
      </c>
      <c r="F43" s="4"/>
      <c r="G43" s="4" t="s">
        <v>32</v>
      </c>
      <c r="H43" s="13">
        <v>185</v>
      </c>
      <c r="I43" s="95"/>
      <c r="J43" s="95"/>
      <c r="K43" s="83"/>
      <c r="M43" s="83"/>
      <c r="N43" s="83"/>
      <c r="P43" s="84"/>
      <c r="Q43" s="4">
        <f ca="1">OFFSET(D40,B74,0)</f>
        <v>225</v>
      </c>
      <c r="R43" s="83"/>
      <c r="S43" s="84"/>
    </row>
    <row r="44" spans="1:19" ht="17.399999999999999" customHeight="1" x14ac:dyDescent="0.3">
      <c r="A44" s="4"/>
      <c r="B44" s="9" t="s">
        <v>33</v>
      </c>
      <c r="C44" s="13" t="s">
        <v>31</v>
      </c>
      <c r="D44" s="13">
        <v>250</v>
      </c>
      <c r="E44" s="13">
        <v>2.3071000000000002</v>
      </c>
      <c r="F44" s="4"/>
      <c r="G44" s="4" t="s">
        <v>34</v>
      </c>
      <c r="H44" s="13">
        <v>500</v>
      </c>
      <c r="I44" s="94">
        <v>1</v>
      </c>
      <c r="J44" s="94">
        <f ca="1">ROUNDUP(L40/50,0)</f>
        <v>3</v>
      </c>
      <c r="K44" s="83"/>
      <c r="L44" s="4"/>
      <c r="M44" s="83"/>
      <c r="N44" s="83"/>
      <c r="O44" s="84"/>
      <c r="P44" s="84"/>
      <c r="Q44" s="4"/>
      <c r="R44" s="83"/>
      <c r="S44" s="84"/>
    </row>
    <row r="45" spans="1:19" x14ac:dyDescent="0.3">
      <c r="A45" s="4"/>
      <c r="B45" s="9" t="s">
        <v>35</v>
      </c>
      <c r="C45" s="13" t="s">
        <v>31</v>
      </c>
      <c r="D45" s="13">
        <v>250</v>
      </c>
      <c r="E45" s="13">
        <v>2.3237000000000001</v>
      </c>
      <c r="F45" s="4"/>
      <c r="G45" s="4" t="s">
        <v>36</v>
      </c>
      <c r="H45" s="13">
        <v>750</v>
      </c>
      <c r="I45" s="95"/>
      <c r="J45" s="95"/>
      <c r="K45" s="83"/>
      <c r="L45" s="4"/>
      <c r="M45" s="83"/>
      <c r="N45" s="83"/>
      <c r="O45" s="84"/>
      <c r="P45" s="84"/>
      <c r="Q45" s="4"/>
      <c r="R45" s="83"/>
      <c r="S45" s="84"/>
    </row>
    <row r="46" spans="1:19" x14ac:dyDescent="0.3">
      <c r="A46" s="4"/>
      <c r="B46" s="9" t="s">
        <v>37</v>
      </c>
      <c r="C46" s="13" t="s">
        <v>31</v>
      </c>
      <c r="D46" s="13">
        <v>276</v>
      </c>
      <c r="E46" s="13">
        <v>2.3237000000000001</v>
      </c>
      <c r="F46" s="4"/>
      <c r="G46" s="4" t="s">
        <v>38</v>
      </c>
      <c r="H46" s="13">
        <v>1200</v>
      </c>
      <c r="I46" s="95"/>
      <c r="J46" s="95"/>
      <c r="K46" s="83"/>
      <c r="L46" s="4"/>
      <c r="M46" s="83"/>
      <c r="N46" s="83"/>
      <c r="O46" s="84"/>
      <c r="P46" s="84"/>
      <c r="Q46" s="4"/>
      <c r="R46" s="83"/>
      <c r="S46" s="84"/>
    </row>
    <row r="47" spans="1:19" x14ac:dyDescent="0.3">
      <c r="A47" s="4"/>
      <c r="B47" s="9" t="s">
        <v>39</v>
      </c>
      <c r="C47" s="13" t="s">
        <v>31</v>
      </c>
      <c r="D47" s="13">
        <v>293</v>
      </c>
      <c r="E47" s="13">
        <v>2.3237000000000001</v>
      </c>
      <c r="F47" s="4"/>
      <c r="G47" s="4" t="s">
        <v>4</v>
      </c>
      <c r="H47" s="13">
        <v>100</v>
      </c>
      <c r="I47" s="83">
        <f>J4</f>
        <v>2</v>
      </c>
      <c r="J47" s="83"/>
      <c r="K47" s="83"/>
      <c r="L47" s="4"/>
      <c r="M47" s="83"/>
      <c r="N47" s="83"/>
      <c r="O47" s="84"/>
      <c r="P47" s="84"/>
      <c r="Q47" s="4"/>
      <c r="R47" s="4"/>
    </row>
    <row r="48" spans="1:19" x14ac:dyDescent="0.3">
      <c r="A48" s="4"/>
      <c r="B48" s="4" t="s">
        <v>40</v>
      </c>
      <c r="C48" s="13" t="s">
        <v>31</v>
      </c>
      <c r="D48" s="13">
        <v>260</v>
      </c>
      <c r="E48" s="13">
        <v>1.85</v>
      </c>
      <c r="F48" s="4"/>
      <c r="G48" s="4" t="s">
        <v>5</v>
      </c>
      <c r="H48" s="13">
        <v>75</v>
      </c>
      <c r="I48" s="83">
        <f>K4</f>
        <v>2</v>
      </c>
      <c r="J48" s="83"/>
      <c r="K48" s="83"/>
      <c r="L48" s="4"/>
      <c r="M48" s="83"/>
      <c r="N48" s="4"/>
      <c r="Q48" s="4"/>
      <c r="R48" s="4"/>
    </row>
    <row r="49" spans="1:18" x14ac:dyDescent="0.3">
      <c r="A49" s="4"/>
      <c r="B49" s="4" t="s">
        <v>41</v>
      </c>
      <c r="C49" s="13" t="s">
        <v>31</v>
      </c>
      <c r="D49" s="13">
        <v>275</v>
      </c>
      <c r="E49" s="13">
        <v>1.85</v>
      </c>
      <c r="F49" s="4"/>
      <c r="G49" s="4" t="s">
        <v>6</v>
      </c>
      <c r="H49" s="13">
        <v>75</v>
      </c>
      <c r="I49" s="83">
        <f>L4</f>
        <v>1</v>
      </c>
      <c r="J49" s="83"/>
      <c r="K49" s="83"/>
      <c r="L49" s="4"/>
      <c r="M49" s="83"/>
      <c r="N49" s="4"/>
      <c r="Q49" s="4"/>
      <c r="R49" s="4"/>
    </row>
    <row r="50" spans="1:18" x14ac:dyDescent="0.3">
      <c r="A50" s="4"/>
      <c r="B50" s="4" t="s">
        <v>42</v>
      </c>
      <c r="C50" s="13" t="s">
        <v>31</v>
      </c>
      <c r="D50" s="13">
        <v>275</v>
      </c>
      <c r="E50" s="13">
        <v>1.85</v>
      </c>
      <c r="F50" s="4"/>
      <c r="I50" s="84"/>
      <c r="J50" s="83"/>
      <c r="K50" s="83"/>
      <c r="L50" s="4"/>
      <c r="M50" s="83"/>
      <c r="N50" s="4"/>
      <c r="Q50" s="4"/>
      <c r="R50" s="4"/>
    </row>
    <row r="51" spans="1:18" x14ac:dyDescent="0.3">
      <c r="A51" s="4"/>
      <c r="B51" s="4" t="s">
        <v>43</v>
      </c>
      <c r="C51" s="13" t="s">
        <v>31</v>
      </c>
      <c r="D51" s="13">
        <v>295</v>
      </c>
      <c r="E51" s="13">
        <v>1.85</v>
      </c>
      <c r="F51" s="4"/>
      <c r="H51" s="4"/>
      <c r="I51" s="83"/>
      <c r="J51" s="83"/>
      <c r="K51" s="83"/>
      <c r="L51" s="4"/>
      <c r="M51" s="4"/>
      <c r="N51" s="4"/>
      <c r="O51" s="68"/>
    </row>
    <row r="52" spans="1:18" x14ac:dyDescent="0.3">
      <c r="A52" s="4"/>
      <c r="B52" s="4" t="s">
        <v>44</v>
      </c>
      <c r="C52" s="13" t="s">
        <v>31</v>
      </c>
      <c r="D52" s="13">
        <v>310</v>
      </c>
      <c r="E52" s="13">
        <v>1.84</v>
      </c>
      <c r="F52" s="4"/>
      <c r="G52" s="4"/>
      <c r="H52" s="4"/>
      <c r="I52" s="83"/>
      <c r="J52" s="83"/>
      <c r="K52" s="83"/>
      <c r="L52" s="4"/>
      <c r="M52" s="4"/>
      <c r="N52" s="4"/>
    </row>
    <row r="53" spans="1:18" x14ac:dyDescent="0.3">
      <c r="A53" s="4"/>
      <c r="B53" s="4" t="s">
        <v>45</v>
      </c>
      <c r="C53" s="13" t="s">
        <v>31</v>
      </c>
      <c r="D53" s="13">
        <v>305</v>
      </c>
      <c r="E53" s="13">
        <v>2.13</v>
      </c>
      <c r="F53" s="4"/>
      <c r="G53" s="4"/>
      <c r="H53" s="4"/>
      <c r="I53" s="83"/>
      <c r="J53" s="83"/>
      <c r="K53" s="83"/>
      <c r="L53" s="4"/>
      <c r="M53" s="4"/>
      <c r="N53" s="4"/>
    </row>
    <row r="54" spans="1:18" x14ac:dyDescent="0.3">
      <c r="A54" s="4"/>
      <c r="B54" s="4" t="s">
        <v>46</v>
      </c>
      <c r="C54" s="13" t="s">
        <v>47</v>
      </c>
      <c r="D54" s="13">
        <v>370</v>
      </c>
      <c r="E54" s="13">
        <v>1.53</v>
      </c>
      <c r="F54" s="4"/>
      <c r="G54" s="4"/>
      <c r="H54" s="4"/>
      <c r="I54" s="83"/>
      <c r="J54" s="83"/>
      <c r="K54" s="83"/>
      <c r="L54" s="4"/>
      <c r="M54" s="4"/>
      <c r="N54" s="4"/>
    </row>
    <row r="55" spans="1:18" x14ac:dyDescent="0.3">
      <c r="A55" s="4"/>
      <c r="B55" s="4" t="s">
        <v>48</v>
      </c>
      <c r="C55" s="13" t="s">
        <v>47</v>
      </c>
      <c r="D55" s="13">
        <v>375</v>
      </c>
      <c r="E55" s="13">
        <v>0.84</v>
      </c>
      <c r="F55" s="4"/>
      <c r="G55" s="4"/>
      <c r="H55" s="4"/>
      <c r="I55" s="83"/>
      <c r="J55" s="83"/>
      <c r="K55" s="83"/>
      <c r="L55" s="4"/>
      <c r="M55" s="4"/>
      <c r="N55" s="4"/>
    </row>
    <row r="56" spans="1:18" x14ac:dyDescent="0.3">
      <c r="A56" s="4"/>
      <c r="B56" s="4" t="s">
        <v>49</v>
      </c>
      <c r="C56" s="13" t="s">
        <v>47</v>
      </c>
      <c r="D56" s="13">
        <v>608</v>
      </c>
      <c r="E56" s="13">
        <v>2.2400000000000002</v>
      </c>
      <c r="F56" s="4"/>
      <c r="G56" s="4"/>
      <c r="H56" s="4"/>
      <c r="I56" s="4"/>
      <c r="J56" s="4"/>
      <c r="K56" s="83"/>
      <c r="L56" s="4"/>
      <c r="M56" s="4"/>
      <c r="N56" s="4"/>
    </row>
    <row r="57" spans="1:18" x14ac:dyDescent="0.3">
      <c r="A57" s="4"/>
      <c r="B57" s="4" t="s">
        <v>50</v>
      </c>
      <c r="C57" s="13" t="s">
        <v>31</v>
      </c>
      <c r="D57" s="13">
        <v>318</v>
      </c>
      <c r="E57" s="13">
        <v>2.2400000000000002</v>
      </c>
      <c r="F57" s="4"/>
      <c r="G57" s="4"/>
      <c r="H57" s="4"/>
      <c r="I57" s="4"/>
      <c r="J57" s="4"/>
      <c r="K57" s="4"/>
      <c r="L57" s="4"/>
      <c r="M57" s="4"/>
      <c r="N57" s="4"/>
    </row>
    <row r="58" spans="1:18" x14ac:dyDescent="0.3">
      <c r="A58" s="4"/>
      <c r="B58" s="4"/>
      <c r="C58" s="13"/>
      <c r="D58" s="13"/>
      <c r="E58" s="13"/>
      <c r="F58" s="4"/>
      <c r="G58" s="4"/>
      <c r="H58" s="4"/>
      <c r="I58" s="4"/>
      <c r="J58" s="4"/>
      <c r="K58" s="4"/>
      <c r="L58" s="4"/>
      <c r="M58" s="4"/>
      <c r="N58" s="4"/>
    </row>
    <row r="59" spans="1:18" x14ac:dyDescent="0.3">
      <c r="A59" s="4"/>
      <c r="B59" s="4"/>
      <c r="C59" s="4"/>
      <c r="D59" s="4"/>
      <c r="E59" s="4"/>
      <c r="F59" s="4"/>
      <c r="G59" s="12"/>
      <c r="H59" s="4"/>
      <c r="I59" s="4"/>
      <c r="J59" s="4"/>
      <c r="K59" s="4"/>
      <c r="L59" s="4"/>
      <c r="M59" s="4"/>
    </row>
    <row r="60" spans="1:18" x14ac:dyDescent="0.3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1:18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1:18" x14ac:dyDescent="0.3">
      <c r="A62" s="4"/>
      <c r="B62" s="83"/>
      <c r="C62" s="83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1:18" x14ac:dyDescent="0.3">
      <c r="A63" s="4"/>
      <c r="B63" s="83"/>
      <c r="C63" s="83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8" x14ac:dyDescent="0.3">
      <c r="A64" s="4"/>
      <c r="B64" s="83"/>
      <c r="C64" s="83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 x14ac:dyDescent="0.3">
      <c r="A65" s="4"/>
      <c r="B65" s="83"/>
      <c r="C65" s="83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 x14ac:dyDescent="0.3">
      <c r="A66" s="4"/>
      <c r="B66" s="83"/>
      <c r="C66" s="83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 x14ac:dyDescent="0.3">
      <c r="A67" s="4"/>
      <c r="B67" s="83"/>
      <c r="C67" s="83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 x14ac:dyDescent="0.3">
      <c r="A68" s="4"/>
      <c r="B68" s="83"/>
      <c r="C68" s="83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 x14ac:dyDescent="0.3">
      <c r="A69" s="4"/>
      <c r="B69" s="83"/>
      <c r="C69" s="83"/>
      <c r="D69" s="4"/>
      <c r="E69" s="4"/>
      <c r="F69" s="4"/>
      <c r="G69" s="4"/>
      <c r="H69" s="4"/>
      <c r="I69" s="4"/>
      <c r="J69" s="4"/>
      <c r="K69" s="4"/>
    </row>
    <row r="70" spans="1:13" x14ac:dyDescent="0.3">
      <c r="B70" s="83"/>
      <c r="C70" s="84"/>
      <c r="G70" s="4"/>
      <c r="H70" s="4"/>
      <c r="I70" s="4"/>
      <c r="J70" s="4"/>
      <c r="K70" s="4"/>
    </row>
    <row r="71" spans="1:13" x14ac:dyDescent="0.3">
      <c r="B71" s="83"/>
      <c r="C71" s="84"/>
    </row>
    <row r="72" spans="1:13" x14ac:dyDescent="0.3">
      <c r="B72" s="83"/>
      <c r="C72" s="84"/>
    </row>
    <row r="73" spans="1:13" x14ac:dyDescent="0.3">
      <c r="B73" s="83"/>
      <c r="C73" s="84"/>
    </row>
    <row r="74" spans="1:13" x14ac:dyDescent="0.3">
      <c r="B74" s="83">
        <v>3</v>
      </c>
      <c r="C74" s="84"/>
    </row>
    <row r="75" spans="1:13" x14ac:dyDescent="0.3">
      <c r="B75" s="83">
        <f ca="1">OFFSET(D40,B74,1)</f>
        <v>2.3071000000000002</v>
      </c>
      <c r="C75" s="84"/>
    </row>
    <row r="76" spans="1:13" x14ac:dyDescent="0.3">
      <c r="B76" s="83"/>
      <c r="C76" s="84"/>
    </row>
    <row r="77" spans="1:13" x14ac:dyDescent="0.3">
      <c r="B77" s="83"/>
      <c r="C77" s="84"/>
    </row>
    <row r="78" spans="1:13" x14ac:dyDescent="0.3">
      <c r="B78" s="83"/>
      <c r="C78" s="84"/>
    </row>
    <row r="79" spans="1:13" x14ac:dyDescent="0.3">
      <c r="B79" s="83"/>
      <c r="C79" s="84"/>
    </row>
    <row r="80" spans="1:13" x14ac:dyDescent="0.3">
      <c r="B80" s="83"/>
      <c r="C80" s="84"/>
    </row>
    <row r="81" spans="2:3" x14ac:dyDescent="0.3">
      <c r="B81" s="83"/>
      <c r="C81" s="84"/>
    </row>
    <row r="82" spans="2:3" x14ac:dyDescent="0.3">
      <c r="B82" s="83"/>
      <c r="C82" s="84"/>
    </row>
    <row r="83" spans="2:3" x14ac:dyDescent="0.3">
      <c r="B83" s="83"/>
      <c r="C83" s="84"/>
    </row>
    <row r="84" spans="2:3" x14ac:dyDescent="0.3">
      <c r="B84" s="83"/>
      <c r="C84" s="84"/>
    </row>
    <row r="85" spans="2:3" x14ac:dyDescent="0.3">
      <c r="B85" s="83"/>
      <c r="C85" s="84"/>
    </row>
  </sheetData>
  <mergeCells count="13">
    <mergeCell ref="F3:G3"/>
    <mergeCell ref="I44:I46"/>
    <mergeCell ref="R39:R40"/>
    <mergeCell ref="J44:J46"/>
    <mergeCell ref="B3:C3"/>
    <mergeCell ref="I7:P7"/>
    <mergeCell ref="D3:E3"/>
    <mergeCell ref="B39:E39"/>
    <mergeCell ref="I41:I43"/>
    <mergeCell ref="B4:C4"/>
    <mergeCell ref="J41:J43"/>
    <mergeCell ref="G39:H39"/>
    <mergeCell ref="H3:I3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Açılan 5">
              <controlPr defaultSize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7620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Açılan 6">
              <controlPr defaultSize="0" autoLine="0" autoPict="0">
                <anchor moveWithCells="1">
                  <from>
                    <xdr:col>7</xdr:col>
                    <xdr:colOff>15240</xdr:colOff>
                    <xdr:row>3</xdr:row>
                    <xdr:rowOff>0</xdr:rowOff>
                  </from>
                  <to>
                    <xdr:col>9</xdr:col>
                    <xdr:colOff>22860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Açılan 7">
              <controlPr defaultSize="0" autoLine="0" autoPict="0">
                <anchor moveWithCells="1">
                  <from>
                    <xdr:col>5</xdr:col>
                    <xdr:colOff>7620</xdr:colOff>
                    <xdr:row>3</xdr:row>
                    <xdr:rowOff>0</xdr:rowOff>
                  </from>
                  <to>
                    <xdr:col>6</xdr:col>
                    <xdr:colOff>586740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Onay Kutusu 8">
              <controlPr defaultSize="0" autoFill="0" autoLine="0" autoPict="0">
                <anchor moveWithCells="1">
                  <from>
                    <xdr:col>4</xdr:col>
                    <xdr:colOff>7620</xdr:colOff>
                    <xdr:row>13</xdr:row>
                    <xdr:rowOff>7620</xdr:rowOff>
                  </from>
                  <to>
                    <xdr:col>5</xdr:col>
                    <xdr:colOff>15240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nay Kutusu 9">
              <controlPr defaultSize="0" autoFill="0" autoLine="0" autoPict="0">
                <anchor moveWithCells="1">
                  <from>
                    <xdr:col>4</xdr:col>
                    <xdr:colOff>7620</xdr:colOff>
                    <xdr:row>12</xdr:row>
                    <xdr:rowOff>0</xdr:rowOff>
                  </from>
                  <to>
                    <xdr:col>5</xdr:col>
                    <xdr:colOff>45720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Değer Değiştirici 10">
              <controlPr defaultSize="0" autoPict="0">
                <anchor moveWithCells="1" sizeWithCells="1">
                  <from>
                    <xdr:col>9</xdr:col>
                    <xdr:colOff>525780</xdr:colOff>
                    <xdr:row>3</xdr:row>
                    <xdr:rowOff>7620</xdr:rowOff>
                  </from>
                  <to>
                    <xdr:col>10</xdr:col>
                    <xdr:colOff>7620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Değer Değiştirici 13">
              <controlPr defaultSize="0" autoPict="0">
                <anchor moveWithCells="1" sizeWithCells="1">
                  <from>
                    <xdr:col>10</xdr:col>
                    <xdr:colOff>373380</xdr:colOff>
                    <xdr:row>3</xdr:row>
                    <xdr:rowOff>7620</xdr:rowOff>
                  </from>
                  <to>
                    <xdr:col>10</xdr:col>
                    <xdr:colOff>601980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Değer Değiştirici 14">
              <controlPr defaultSize="0" autoPict="0">
                <anchor moveWithCells="1" sizeWithCells="1">
                  <from>
                    <xdr:col>11</xdr:col>
                    <xdr:colOff>518160</xdr:colOff>
                    <xdr:row>3</xdr:row>
                    <xdr:rowOff>7620</xdr:rowOff>
                  </from>
                  <to>
                    <xdr:col>12</xdr:col>
                    <xdr:colOff>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Seçenek Düğmesi 16">
              <controlPr defaultSize="0" autoFill="0" autoLine="0" autoPict="0">
                <anchor moveWithCells="1">
                  <from>
                    <xdr:col>4</xdr:col>
                    <xdr:colOff>822960</xdr:colOff>
                    <xdr:row>18</xdr:row>
                    <xdr:rowOff>0</xdr:rowOff>
                  </from>
                  <to>
                    <xdr:col>5</xdr:col>
                    <xdr:colOff>716280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Seçenek Düğmesi 17">
              <controlPr defaultSize="0" autoFill="0" autoLine="0" autoPict="0">
                <anchor moveWithCells="1">
                  <from>
                    <xdr:col>4</xdr:col>
                    <xdr:colOff>822960</xdr:colOff>
                    <xdr:row>18</xdr:row>
                    <xdr:rowOff>175260</xdr:rowOff>
                  </from>
                  <to>
                    <xdr:col>5</xdr:col>
                    <xdr:colOff>731520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Seçenek Düğmesi 18">
              <controlPr defaultSize="0" autoFill="0" autoLine="0" autoPict="0">
                <anchor moveWithCells="1">
                  <from>
                    <xdr:col>4</xdr:col>
                    <xdr:colOff>822960</xdr:colOff>
                    <xdr:row>20</xdr:row>
                    <xdr:rowOff>0</xdr:rowOff>
                  </from>
                  <to>
                    <xdr:col>5</xdr:col>
                    <xdr:colOff>723900</xdr:colOff>
                    <xdr:row>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Düğme 23">
              <controlPr defaultSize="0" print="0" autoFill="0" autoPict="0" macro="[0]!YAZDIR">
                <anchor moveWithCells="1">
                  <from>
                    <xdr:col>7</xdr:col>
                    <xdr:colOff>464820</xdr:colOff>
                    <xdr:row>19</xdr:row>
                    <xdr:rowOff>0</xdr:rowOff>
                  </from>
                  <to>
                    <xdr:col>8</xdr:col>
                    <xdr:colOff>480060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Onay Kutusu 25">
              <controlPr defaultSize="0" autoFill="0" autoLine="0" autoPict="0" altText="">
                <anchor moveWithCells="1">
                  <from>
                    <xdr:col>4</xdr:col>
                    <xdr:colOff>7620</xdr:colOff>
                    <xdr:row>14</xdr:row>
                    <xdr:rowOff>0</xdr:rowOff>
                  </from>
                  <to>
                    <xdr:col>5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>
    <pageSetUpPr fitToPage="1"/>
  </sheetPr>
  <dimension ref="B1:I47"/>
  <sheetViews>
    <sheetView showGridLines="0" showRowColHeaders="0" showZeros="0" showRuler="0" topLeftCell="A12" zoomScale="90" zoomScaleNormal="90" workbookViewId="0">
      <selection activeCell="N26" sqref="N26"/>
    </sheetView>
  </sheetViews>
  <sheetFormatPr defaultRowHeight="14.4" x14ac:dyDescent="0.3"/>
  <cols>
    <col min="1" max="1" width="6.77734375" style="1" customWidth="1"/>
    <col min="2" max="2" width="16.44140625" style="1" bestFit="1" customWidth="1"/>
    <col min="3" max="3" width="20.88671875" style="1" bestFit="1" customWidth="1"/>
    <col min="4" max="4" width="11.5546875" style="1" customWidth="1"/>
    <col min="5" max="5" width="10.44140625" style="1" customWidth="1"/>
    <col min="6" max="6" width="20.33203125" style="1" customWidth="1"/>
    <col min="7" max="7" width="17.44140625" style="1" bestFit="1" customWidth="1"/>
    <col min="8" max="12" width="8.88671875" style="1" customWidth="1"/>
    <col min="13" max="16384" width="8.88671875" style="1"/>
  </cols>
  <sheetData>
    <row r="1" spans="2:6" x14ac:dyDescent="0.3">
      <c r="F1" s="27">
        <f ca="1">TODAY()</f>
        <v>45760</v>
      </c>
    </row>
    <row r="6" spans="2:6" ht="24" customHeight="1" x14ac:dyDescent="0.35">
      <c r="B6" s="3"/>
      <c r="C6" s="3"/>
      <c r="D6" s="3"/>
      <c r="E6" s="3"/>
    </row>
    <row r="7" spans="2:6" ht="24" customHeight="1" x14ac:dyDescent="0.35">
      <c r="B7" s="2"/>
      <c r="C7" s="2"/>
      <c r="D7" s="2"/>
      <c r="E7" s="2"/>
      <c r="F7" s="2"/>
    </row>
    <row r="8" spans="2:6" ht="24" customHeight="1" x14ac:dyDescent="0.35">
      <c r="B8" s="2"/>
      <c r="C8" s="2"/>
      <c r="D8" s="2"/>
    </row>
    <row r="9" spans="2:6" ht="24" customHeight="1" x14ac:dyDescent="0.35">
      <c r="B9" s="2"/>
      <c r="C9" s="2"/>
      <c r="D9" s="2"/>
    </row>
    <row r="10" spans="2:6" ht="14.25" customHeight="1" x14ac:dyDescent="0.3"/>
    <row r="11" spans="2:6" ht="14.25" customHeight="1" x14ac:dyDescent="0.3">
      <c r="E11" s="27"/>
    </row>
    <row r="12" spans="2:6" ht="12.75" customHeight="1" x14ac:dyDescent="0.4">
      <c r="B12" s="28"/>
      <c r="C12" s="28"/>
      <c r="D12" s="28"/>
      <c r="E12" s="29"/>
    </row>
    <row r="13" spans="2:6" ht="15.6" customHeight="1" x14ac:dyDescent="0.3">
      <c r="B13" s="107" t="s">
        <v>51</v>
      </c>
      <c r="C13" s="108"/>
      <c r="D13" s="112" t="s">
        <v>52</v>
      </c>
      <c r="E13" s="113"/>
      <c r="F13" s="30"/>
    </row>
    <row r="14" spans="2:6" ht="4.8" customHeight="1" x14ac:dyDescent="0.3">
      <c r="B14" s="114"/>
      <c r="C14" s="115"/>
      <c r="D14" s="31"/>
      <c r="E14" s="31"/>
      <c r="F14" s="30"/>
    </row>
    <row r="15" spans="2:6" ht="16.8" customHeight="1" x14ac:dyDescent="0.3">
      <c r="B15" s="111"/>
      <c r="C15" s="95"/>
      <c r="D15" s="116"/>
      <c r="E15" s="95"/>
      <c r="F15" s="95"/>
    </row>
    <row r="16" spans="2:6" ht="16.8" customHeight="1" x14ac:dyDescent="0.3">
      <c r="B16" s="109"/>
      <c r="C16" s="110"/>
      <c r="D16" s="98"/>
      <c r="E16" s="95"/>
      <c r="F16" s="95"/>
    </row>
    <row r="17" spans="2:9" ht="8.4" customHeight="1" thickBot="1" x14ac:dyDescent="0.35">
      <c r="B17" s="90"/>
      <c r="C17" s="91"/>
      <c r="D17" s="88"/>
      <c r="E17" s="32"/>
      <c r="F17" s="32"/>
      <c r="G17" s="4"/>
    </row>
    <row r="18" spans="2:9" x14ac:dyDescent="0.3">
      <c r="B18" s="33" t="s">
        <v>53</v>
      </c>
      <c r="C18" s="34" t="s">
        <v>54</v>
      </c>
      <c r="D18" s="35"/>
      <c r="E18" s="36"/>
      <c r="F18" s="4"/>
    </row>
    <row r="19" spans="2:9" x14ac:dyDescent="0.3">
      <c r="B19" s="15">
        <f ca="1">Sayfa1!L42</f>
        <v>44</v>
      </c>
      <c r="C19" s="16" t="str">
        <f ca="1">OFFSET(Sayfa1!B40,Sayfa1!B74,0)</f>
        <v>TERRA 8 MM</v>
      </c>
      <c r="D19" s="37"/>
      <c r="E19" s="38"/>
      <c r="F19" s="4"/>
    </row>
    <row r="20" spans="2:9" x14ac:dyDescent="0.3">
      <c r="B20" s="17">
        <f ca="1">Sayfa1!J41</f>
        <v>37</v>
      </c>
      <c r="C20" s="18" t="str">
        <f>IF(Sayfa1!I41=1,Sayfa1!G41,IF(Sayfa1!I41=2,Sayfa1!G42,IF(Sayfa1!I41=3,Sayfa1!G42)))</f>
        <v>SÜP 6CM</v>
      </c>
      <c r="D20" s="39"/>
      <c r="E20" s="40"/>
      <c r="F20" s="4"/>
    </row>
    <row r="21" spans="2:9" x14ac:dyDescent="0.3">
      <c r="B21" s="89">
        <f ca="1">ROUNDUP(Sayfa1!L40,0)</f>
        <v>102</v>
      </c>
      <c r="C21" s="8" t="str">
        <f ca="1">OFFSET(Sayfa1!F43,Sayfa1!I44,1)</f>
        <v>ŞİLTE 2MM</v>
      </c>
      <c r="D21" s="41"/>
      <c r="E21" s="8"/>
      <c r="F21" s="4"/>
    </row>
    <row r="22" spans="2:9" x14ac:dyDescent="0.3">
      <c r="B22" s="17">
        <f>Sayfa1!J4</f>
        <v>2</v>
      </c>
      <c r="C22" s="19" t="s">
        <v>4</v>
      </c>
      <c r="D22" s="42"/>
      <c r="E22" s="4"/>
    </row>
    <row r="23" spans="2:9" x14ac:dyDescent="0.3">
      <c r="B23" s="20">
        <f>Sayfa1!K4</f>
        <v>2</v>
      </c>
      <c r="C23" s="8" t="s">
        <v>55</v>
      </c>
      <c r="D23" s="41"/>
      <c r="E23" s="4"/>
    </row>
    <row r="24" spans="2:9" x14ac:dyDescent="0.3">
      <c r="B24" s="21">
        <f>Sayfa1!L4</f>
        <v>1</v>
      </c>
      <c r="C24" s="22" t="s">
        <v>6</v>
      </c>
      <c r="D24" s="43"/>
      <c r="E24" s="8"/>
      <c r="I24" s="4"/>
    </row>
    <row r="25" spans="2:9" x14ac:dyDescent="0.3">
      <c r="B25" s="23" t="str">
        <f>IF(Sayfa1!N41,"✔","✘	")</f>
        <v>✔</v>
      </c>
      <c r="C25" s="8" t="str">
        <f>IF(Sayfa1!N41,"NAKLİYE ","DEPO TESLİM")</f>
        <v xml:space="preserve">NAKLİYE </v>
      </c>
      <c r="D25" s="41"/>
      <c r="F25" s="4"/>
    </row>
    <row r="26" spans="2:9" x14ac:dyDescent="0.3">
      <c r="B26" s="24" t="str">
        <f>IF(Sayfa1!O41,"✔","✘	")</f>
        <v>✔</v>
      </c>
      <c r="C26" s="22" t="str">
        <f>IF(Sayfa1!O41,"MONTAJ","MONTAJ YOK")</f>
        <v>MONTAJ</v>
      </c>
      <c r="D26" s="43"/>
      <c r="F26" s="4"/>
    </row>
    <row r="27" spans="2:9" ht="15" customHeight="1" thickBot="1" x14ac:dyDescent="0.35">
      <c r="B27" s="25" t="str">
        <f>IF(Sayfa1!O42,"✔","✘	")</f>
        <v xml:space="preserve">✘	</v>
      </c>
      <c r="C27" s="26" t="str">
        <f>IF(Sayfa1!O42,"EŞYALI","EŞYASIZ")</f>
        <v>EŞYASIZ</v>
      </c>
      <c r="D27" s="44"/>
      <c r="E27" s="8"/>
    </row>
    <row r="29" spans="2:9" ht="12" customHeight="1" x14ac:dyDescent="0.3">
      <c r="C29" s="6"/>
      <c r="D29" s="7"/>
      <c r="E29" s="45"/>
      <c r="F29" s="7"/>
    </row>
    <row r="30" spans="2:9" ht="13.2" customHeight="1" x14ac:dyDescent="0.3">
      <c r="C30" s="6" t="s">
        <v>7</v>
      </c>
      <c r="D30" s="46">
        <f ca="1">Sayfa1!Q40</f>
        <v>33068.472000000009</v>
      </c>
      <c r="E30" s="47" t="str">
        <f>IF(Sayfa1!R39=1,"Nakit",IF(Sayfa1!R39=2,"Tek Çekim",IF(Sayfa1!R39=3,"Taksitli",)))</f>
        <v>Nakit</v>
      </c>
      <c r="F30" s="7"/>
    </row>
    <row r="31" spans="2:9" ht="7.2" customHeight="1" x14ac:dyDescent="0.3">
      <c r="C31" s="6"/>
      <c r="D31" s="48"/>
      <c r="E31" s="7"/>
      <c r="F31" s="4"/>
    </row>
    <row r="32" spans="2:9" ht="18" customHeight="1" x14ac:dyDescent="0.3">
      <c r="C32" s="10" t="s">
        <v>56</v>
      </c>
      <c r="D32" s="49"/>
      <c r="E32" s="49"/>
      <c r="F32" s="4"/>
    </row>
    <row r="33" spans="2:7" ht="11.1" customHeight="1" x14ac:dyDescent="0.3">
      <c r="C33" s="6"/>
      <c r="D33" s="11"/>
      <c r="E33" s="7"/>
      <c r="F33" s="7"/>
    </row>
    <row r="34" spans="2:7" ht="15" customHeight="1" x14ac:dyDescent="0.3">
      <c r="B34" s="30"/>
      <c r="C34" s="10" t="s">
        <v>57</v>
      </c>
      <c r="D34" s="49">
        <v>0</v>
      </c>
      <c r="E34" s="50">
        <v>0</v>
      </c>
      <c r="F34" s="7"/>
    </row>
    <row r="35" spans="2:7" x14ac:dyDescent="0.3">
      <c r="C35" s="6"/>
      <c r="D35" s="51"/>
      <c r="E35" s="7"/>
      <c r="F35" s="7"/>
    </row>
    <row r="36" spans="2:7" x14ac:dyDescent="0.3">
      <c r="B36" s="52"/>
      <c r="C36" s="53"/>
    </row>
    <row r="38" spans="2:7" x14ac:dyDescent="0.3">
      <c r="B38" s="98"/>
      <c r="C38" s="95"/>
      <c r="D38" s="95"/>
      <c r="E38" s="95"/>
      <c r="F38" s="95"/>
    </row>
    <row r="40" spans="2:7" x14ac:dyDescent="0.3">
      <c r="B40" s="6"/>
    </row>
    <row r="45" spans="2:7" ht="18" customHeight="1" x14ac:dyDescent="0.3">
      <c r="C45" s="54"/>
      <c r="D45" s="54"/>
      <c r="E45" s="54"/>
      <c r="F45" s="54"/>
      <c r="G45" s="54"/>
    </row>
    <row r="46" spans="2:7" x14ac:dyDescent="0.3">
      <c r="B46" s="4" t="s">
        <v>58</v>
      </c>
      <c r="E46" s="98" t="s">
        <v>59</v>
      </c>
      <c r="F46" s="95"/>
    </row>
    <row r="47" spans="2:7" x14ac:dyDescent="0.3">
      <c r="B47" s="4">
        <v>5334732915</v>
      </c>
      <c r="F47" s="10" t="s">
        <v>60</v>
      </c>
    </row>
  </sheetData>
  <mergeCells count="9">
    <mergeCell ref="B13:C13"/>
    <mergeCell ref="B16:C16"/>
    <mergeCell ref="B15:C15"/>
    <mergeCell ref="B38:F38"/>
    <mergeCell ref="E46:F46"/>
    <mergeCell ref="D13:E13"/>
    <mergeCell ref="B14:C14"/>
    <mergeCell ref="D15:F15"/>
    <mergeCell ref="D16:F16"/>
  </mergeCells>
  <pageMargins left="0.70866141732283472" right="0.70866141732283472" top="0.74803149606299213" bottom="0.74803149606299213" header="0.31496062992125978" footer="0.31496062992125978"/>
  <pageSetup paperSize="9" orientation="portrait" horizontalDpi="429496729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</vt:i4>
      </vt:variant>
      <vt:variant>
        <vt:lpstr>Adlandırılmış Aralıklar</vt:lpstr>
      </vt:variant>
      <vt:variant>
        <vt:i4>2</vt:i4>
      </vt:variant>
    </vt:vector>
  </HeadingPairs>
  <TitlesOfParts>
    <vt:vector size="4" baseType="lpstr">
      <vt:lpstr>Sayfa1</vt:lpstr>
      <vt:lpstr>Sayfa5</vt:lpstr>
      <vt:lpstr>ALADAĞ1</vt:lpstr>
      <vt:lpstr>Sayfa5!Yazdırma_Alanı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DAYLAK</dc:creator>
  <cp:lastModifiedBy>Yusuf Daylak</cp:lastModifiedBy>
  <cp:lastPrinted>2025-03-15T09:56:42Z</cp:lastPrinted>
  <dcterms:created xsi:type="dcterms:W3CDTF">2022-09-03T10:44:10Z</dcterms:created>
  <dcterms:modified xsi:type="dcterms:W3CDTF">2025-04-13T15:48:59Z</dcterms:modified>
</cp:coreProperties>
</file>